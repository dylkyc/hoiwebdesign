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"/>
    </mc:Choice>
  </mc:AlternateContent>
  <xr:revisionPtr revIDLastSave="0" documentId="13_ncr:9_{17BDBB2C-FBDD-4A23-8C04-ABAB306F9965}" xr6:coauthVersionLast="47" xr6:coauthVersionMax="47" xr10:uidLastSave="{00000000-0000-0000-0000-000000000000}"/>
  <bookViews>
    <workbookView xWindow="1530" yWindow="4950" windowWidth="22230" windowHeight="13335" activeTab="1" xr2:uid="{4267086C-E828-404D-BA24-C14B93B37006}"/>
  </bookViews>
  <sheets>
    <sheet name="单位数据" sheetId="1" r:id="rId1"/>
    <sheet name="师编制" sheetId="2" r:id="rId2"/>
    <sheet name="地形适配" sheetId="3" r:id="rId3"/>
  </sheets>
  <definedNames>
    <definedName name="_xlnm._FilterDatabase" localSheetId="0" hidden="1">单位数据!$A$1:$E$46</definedName>
  </definedNames>
  <calcPr calcId="0"/>
</workbook>
</file>

<file path=xl/calcChain.xml><?xml version="1.0" encoding="utf-8"?>
<calcChain xmlns="http://schemas.openxmlformats.org/spreadsheetml/2006/main">
  <c r="F2" i="3" l="1"/>
  <c r="E2" i="3"/>
  <c r="C2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B20" i="2"/>
  <c r="D20" i="2" l="1"/>
  <c r="E9" i="3"/>
  <c r="F9" i="3" s="1"/>
  <c r="I2" i="3"/>
  <c r="E6" i="3"/>
  <c r="F6" i="3" s="1"/>
  <c r="G6" i="3" s="1"/>
  <c r="H6" i="3" s="1"/>
  <c r="E7" i="3"/>
  <c r="F7" i="3" s="1"/>
  <c r="G7" i="3" s="1"/>
  <c r="H7" i="3" s="1"/>
  <c r="E8" i="3"/>
  <c r="F8" i="3" s="1"/>
  <c r="E3" i="3"/>
  <c r="F3" i="3" s="1"/>
  <c r="E4" i="3"/>
  <c r="F4" i="3" s="1"/>
  <c r="G4" i="3" s="1"/>
  <c r="H4" i="3" s="1"/>
  <c r="E5" i="3"/>
  <c r="F5" i="3" s="1"/>
  <c r="J2" i="3"/>
  <c r="G2" i="3"/>
  <c r="H2" i="3" s="1"/>
  <c r="G3" i="3"/>
  <c r="H3" i="3" s="1"/>
  <c r="I3" i="3"/>
  <c r="J3" i="3" s="1"/>
  <c r="I6" i="3"/>
  <c r="J6" i="3" s="1"/>
  <c r="I4" i="3" l="1"/>
  <c r="J4" i="3" s="1"/>
  <c r="G8" i="3"/>
  <c r="H8" i="3" s="1"/>
  <c r="I8" i="3"/>
  <c r="J8" i="3"/>
  <c r="I5" i="3"/>
  <c r="J5" i="3" s="1"/>
  <c r="G5" i="3"/>
  <c r="H5" i="3" s="1"/>
  <c r="I7" i="3"/>
  <c r="J7" i="3" s="1"/>
  <c r="G9" i="3"/>
  <c r="H9" i="3" s="1"/>
  <c r="I9" i="3"/>
  <c r="J9" i="3" s="1"/>
</calcChain>
</file>

<file path=xl/sharedStrings.xml><?xml version="1.0" encoding="utf-8"?>
<sst xmlns="http://schemas.openxmlformats.org/spreadsheetml/2006/main" count="164" uniqueCount="126">
  <si>
    <t>单位ID</t>
  </si>
  <si>
    <t>中文名</t>
  </si>
  <si>
    <t>组织度</t>
  </si>
  <si>
    <t>战宽</t>
  </si>
  <si>
    <t>类型</t>
  </si>
  <si>
    <t>infantry</t>
  </si>
  <si>
    <t>步兵</t>
  </si>
  <si>
    <t>bicycle_battalion</t>
  </si>
  <si>
    <t>自行车营</t>
  </si>
  <si>
    <t>marine</t>
  </si>
  <si>
    <t>海军陆战队</t>
  </si>
  <si>
    <t>marine_commando</t>
  </si>
  <si>
    <t>海军突击队</t>
  </si>
  <si>
    <t>mountaineers</t>
  </si>
  <si>
    <t>山地步兵</t>
  </si>
  <si>
    <t>ranger_battalion</t>
  </si>
  <si>
    <t>游骑兵</t>
  </si>
  <si>
    <t>paratrooper</t>
  </si>
  <si>
    <t>空降伞兵</t>
  </si>
  <si>
    <t>motorized</t>
  </si>
  <si>
    <t>摩托化步兵</t>
  </si>
  <si>
    <t>摩托化</t>
  </si>
  <si>
    <t>mechanized</t>
  </si>
  <si>
    <t>机械化步兵</t>
  </si>
  <si>
    <t>机械化</t>
  </si>
  <si>
    <t>penal_battalion</t>
  </si>
  <si>
    <t>惩戒营</t>
  </si>
  <si>
    <t>irregular_infantry</t>
  </si>
  <si>
    <t>非正规步兵</t>
  </si>
  <si>
    <t>militia</t>
  </si>
  <si>
    <t>民兵</t>
  </si>
  <si>
    <t>cavalry</t>
  </si>
  <si>
    <t>骑兵</t>
  </si>
  <si>
    <t>camelry</t>
  </si>
  <si>
    <t>骆驼骑兵</t>
  </si>
  <si>
    <t>armored_car</t>
  </si>
  <si>
    <t>装甲车</t>
  </si>
  <si>
    <t>light_armor</t>
  </si>
  <si>
    <t>轻型坦克</t>
  </si>
  <si>
    <t>坦克</t>
  </si>
  <si>
    <t>medium_armor</t>
  </si>
  <si>
    <t>中型坦克</t>
  </si>
  <si>
    <t>heavy_armor</t>
  </si>
  <si>
    <t>重型坦克</t>
  </si>
  <si>
    <t>modern_armor</t>
  </si>
  <si>
    <t>现代坦克</t>
  </si>
  <si>
    <t>amphibious_armor</t>
  </si>
  <si>
    <t>两栖坦克营</t>
  </si>
  <si>
    <t>amphibious_light_armor</t>
  </si>
  <si>
    <t>轻型两栖坦克营</t>
  </si>
  <si>
    <t>amphibious_medium_armor</t>
  </si>
  <si>
    <t>中型两栖坦克营</t>
  </si>
  <si>
    <t>amphibious_heavy_armor</t>
  </si>
  <si>
    <t>重型两栖坦克营</t>
  </si>
  <si>
    <t>amphibious_mechanized</t>
  </si>
  <si>
    <t>两栖机步营</t>
  </si>
  <si>
    <t>light_sp_anti_air_brigade</t>
  </si>
  <si>
    <t>轻型自行防空炮</t>
  </si>
  <si>
    <t>自行防空</t>
  </si>
  <si>
    <t>medium_sp_anti_air_brigade</t>
  </si>
  <si>
    <t>中型自行防空炮</t>
  </si>
  <si>
    <t>heavy_sp_anti_air_brigade</t>
  </si>
  <si>
    <t>重型自行防空炮</t>
  </si>
  <si>
    <t>modern_sp_anti_air_brigade</t>
  </si>
  <si>
    <t>现代自行防空炮</t>
  </si>
  <si>
    <t>light_sp_artillery_brigade</t>
  </si>
  <si>
    <t>轻型自行火炮</t>
  </si>
  <si>
    <t>自行火炮</t>
  </si>
  <si>
    <t>medium_sp_artillery_brigade</t>
  </si>
  <si>
    <t>中型自行火炮</t>
  </si>
  <si>
    <t>heavy_sp_artillery_brigade</t>
  </si>
  <si>
    <t>重型自行火炮</t>
  </si>
  <si>
    <t>modern_sp_artillery_brigade</t>
  </si>
  <si>
    <t>现代自行火炮</t>
  </si>
  <si>
    <t>light_tank_destroyer_brigade</t>
  </si>
  <si>
    <t>轻型自行反坦克炮</t>
  </si>
  <si>
    <t>自行反坦克</t>
  </si>
  <si>
    <t>medium_tank_destroyer_brigade</t>
  </si>
  <si>
    <t>中型自行反坦克炮</t>
  </si>
  <si>
    <t>heavy_tank_destroyer_brigade</t>
  </si>
  <si>
    <t>重型自行反坦克炮</t>
  </si>
  <si>
    <t>modern_tank_destroyer_brigade</t>
  </si>
  <si>
    <t>现代自行反坦克炮</t>
  </si>
  <si>
    <t>artillery_brigade</t>
  </si>
  <si>
    <t>炮兵</t>
  </si>
  <si>
    <t>牵引火炮</t>
  </si>
  <si>
    <t>mot_artillery_brigade</t>
  </si>
  <si>
    <t>摩托化炮兵</t>
  </si>
  <si>
    <t>rocket_artillery_brigade</t>
  </si>
  <si>
    <t>火箭炮</t>
  </si>
  <si>
    <t>mot_rocket_artillery_brigade</t>
  </si>
  <si>
    <t>牵引式火箭炮营</t>
  </si>
  <si>
    <t>motorized_rocket_brigade</t>
  </si>
  <si>
    <t>自行火箭炮</t>
  </si>
  <si>
    <t>anti_tank_brigade</t>
  </si>
  <si>
    <t>反坦克炮</t>
  </si>
  <si>
    <t>反坦克</t>
  </si>
  <si>
    <t>mot_anti_tank_brigade</t>
  </si>
  <si>
    <t>摩托化反坦克炮</t>
  </si>
  <si>
    <t>anti_air_brigade</t>
  </si>
  <si>
    <t>防空炮</t>
  </si>
  <si>
    <t>防空</t>
  </si>
  <si>
    <t>mot_anti_air_brigade</t>
  </si>
  <si>
    <t>摩托化防空炮</t>
  </si>
  <si>
    <t>单位ID</t>
    <phoneticPr fontId="18" type="noConversion"/>
  </si>
  <si>
    <t>数量</t>
    <phoneticPr fontId="18" type="noConversion"/>
  </si>
  <si>
    <t>组织度贡献</t>
    <phoneticPr fontId="18" type="noConversion"/>
  </si>
  <si>
    <t>战宽</t>
    <phoneticPr fontId="18" type="noConversion"/>
  </si>
  <si>
    <t>地形</t>
  </si>
  <si>
    <t>基础战宽</t>
  </si>
  <si>
    <t>支援战宽</t>
  </si>
  <si>
    <t>总宽度</t>
  </si>
  <si>
    <t>可放师数</t>
  </si>
  <si>
    <t>使用宽度</t>
  </si>
  <si>
    <t>剩余宽度</t>
  </si>
  <si>
    <t>是否超宽</t>
  </si>
  <si>
    <t>森林</t>
  </si>
  <si>
    <t>丘陵</t>
  </si>
  <si>
    <t>山地</t>
  </si>
  <si>
    <t>平原</t>
  </si>
  <si>
    <t>城市</t>
  </si>
  <si>
    <t>丛林</t>
  </si>
  <si>
    <t>沼泽</t>
  </si>
  <si>
    <t>沙漠</t>
  </si>
  <si>
    <t>超宽惩罚</t>
    <phoneticPr fontId="18" type="noConversion"/>
  </si>
  <si>
    <t>实际战斗力宽度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</si>
</sst>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180" fontId="20" fillId="0" borderId="0" xfId="0" applyNumberFormat="1" applyFont="1" applyAlignment="1">
      <alignment horizontal="left" vertical="center" inden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5B6A-EBF7-4E26-B643-CEA08B79C708}">
  <dimension ref="A1:E46"/>
  <sheetViews>
    <sheetView topLeftCell="A28" workbookViewId="0">
      <selection activeCell="A38" sqref="A38"/>
    </sheetView>
  </sheetViews>
  <sheetFormatPr defaultRowHeight="14.25" x14ac:dyDescent="0.2"/>
  <cols>
    <col min="1" max="1" width="30.125" bestFit="1" customWidth="1"/>
    <col min="2" max="2" width="17.25" bestFit="1" customWidth="1"/>
    <col min="3" max="3" width="7.125" bestFit="1" customWidth="1"/>
    <col min="4" max="4" width="5.25" bestFit="1" customWidth="1"/>
    <col min="5" max="5" width="11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60</v>
      </c>
      <c r="D2">
        <v>2</v>
      </c>
      <c r="E2" t="s">
        <v>6</v>
      </c>
    </row>
    <row r="3" spans="1:5" x14ac:dyDescent="0.2">
      <c r="A3" t="s">
        <v>7</v>
      </c>
      <c r="B3" t="s">
        <v>8</v>
      </c>
      <c r="C3">
        <v>60</v>
      </c>
      <c r="D3">
        <v>2</v>
      </c>
      <c r="E3" t="s">
        <v>6</v>
      </c>
    </row>
    <row r="4" spans="1:5" x14ac:dyDescent="0.2">
      <c r="A4" t="s">
        <v>9</v>
      </c>
      <c r="B4" t="s">
        <v>10</v>
      </c>
      <c r="C4">
        <v>70</v>
      </c>
      <c r="D4">
        <v>2</v>
      </c>
      <c r="E4" t="s">
        <v>6</v>
      </c>
    </row>
    <row r="5" spans="1:5" x14ac:dyDescent="0.2">
      <c r="A5" t="s">
        <v>11</v>
      </c>
      <c r="B5" t="s">
        <v>12</v>
      </c>
      <c r="C5">
        <v>70</v>
      </c>
      <c r="D5">
        <v>2</v>
      </c>
      <c r="E5" t="s">
        <v>6</v>
      </c>
    </row>
    <row r="6" spans="1:5" x14ac:dyDescent="0.2">
      <c r="A6" t="s">
        <v>13</v>
      </c>
      <c r="B6" t="s">
        <v>14</v>
      </c>
      <c r="C6">
        <v>70</v>
      </c>
      <c r="D6">
        <v>2</v>
      </c>
      <c r="E6" t="s">
        <v>6</v>
      </c>
    </row>
    <row r="7" spans="1:5" x14ac:dyDescent="0.2">
      <c r="A7" t="s">
        <v>15</v>
      </c>
      <c r="B7" t="s">
        <v>16</v>
      </c>
      <c r="C7">
        <v>70</v>
      </c>
      <c r="D7">
        <v>2</v>
      </c>
      <c r="E7" t="s">
        <v>6</v>
      </c>
    </row>
    <row r="8" spans="1:5" x14ac:dyDescent="0.2">
      <c r="A8" t="s">
        <v>17</v>
      </c>
      <c r="B8" t="s">
        <v>18</v>
      </c>
      <c r="C8">
        <v>70</v>
      </c>
      <c r="D8">
        <v>2</v>
      </c>
      <c r="E8" t="s">
        <v>6</v>
      </c>
    </row>
    <row r="9" spans="1:5" x14ac:dyDescent="0.2">
      <c r="A9" t="s">
        <v>19</v>
      </c>
      <c r="B9" t="s">
        <v>20</v>
      </c>
      <c r="C9">
        <v>60</v>
      </c>
      <c r="D9">
        <v>2</v>
      </c>
      <c r="E9" t="s">
        <v>21</v>
      </c>
    </row>
    <row r="10" spans="1:5" x14ac:dyDescent="0.2">
      <c r="A10" t="s">
        <v>22</v>
      </c>
      <c r="B10" t="s">
        <v>23</v>
      </c>
      <c r="C10">
        <v>60</v>
      </c>
      <c r="D10">
        <v>2</v>
      </c>
      <c r="E10" t="s">
        <v>24</v>
      </c>
    </row>
    <row r="11" spans="1:5" x14ac:dyDescent="0.2">
      <c r="A11" t="s">
        <v>25</v>
      </c>
      <c r="B11" t="s">
        <v>26</v>
      </c>
      <c r="C11">
        <v>70</v>
      </c>
      <c r="D11">
        <v>2</v>
      </c>
      <c r="E11" t="s">
        <v>6</v>
      </c>
    </row>
    <row r="12" spans="1:5" x14ac:dyDescent="0.2">
      <c r="A12" t="s">
        <v>27</v>
      </c>
      <c r="B12" t="s">
        <v>28</v>
      </c>
      <c r="C12">
        <v>45</v>
      </c>
      <c r="D12">
        <v>2</v>
      </c>
      <c r="E12" t="s">
        <v>6</v>
      </c>
    </row>
    <row r="13" spans="1:5" x14ac:dyDescent="0.2">
      <c r="A13" t="s">
        <v>29</v>
      </c>
      <c r="B13" t="s">
        <v>30</v>
      </c>
      <c r="C13">
        <v>50</v>
      </c>
      <c r="D13">
        <v>2</v>
      </c>
      <c r="E13" t="s">
        <v>6</v>
      </c>
    </row>
    <row r="14" spans="1:5" x14ac:dyDescent="0.2">
      <c r="A14" t="s">
        <v>31</v>
      </c>
      <c r="B14" t="s">
        <v>32</v>
      </c>
      <c r="C14">
        <v>70</v>
      </c>
      <c r="D14">
        <v>2</v>
      </c>
      <c r="E14" t="s">
        <v>32</v>
      </c>
    </row>
    <row r="15" spans="1:5" x14ac:dyDescent="0.2">
      <c r="A15" t="s">
        <v>33</v>
      </c>
      <c r="B15" t="s">
        <v>34</v>
      </c>
      <c r="C15">
        <v>70</v>
      </c>
      <c r="D15">
        <v>2</v>
      </c>
      <c r="E15" t="s">
        <v>32</v>
      </c>
    </row>
    <row r="16" spans="1:5" x14ac:dyDescent="0.2">
      <c r="A16" t="s">
        <v>35</v>
      </c>
      <c r="B16" t="s">
        <v>36</v>
      </c>
      <c r="C16">
        <v>20</v>
      </c>
      <c r="D16">
        <v>2</v>
      </c>
      <c r="E16" t="s">
        <v>36</v>
      </c>
    </row>
    <row r="17" spans="1:5" x14ac:dyDescent="0.2">
      <c r="A17" t="s">
        <v>37</v>
      </c>
      <c r="B17" t="s">
        <v>38</v>
      </c>
      <c r="C17">
        <v>10</v>
      </c>
      <c r="D17">
        <v>2</v>
      </c>
      <c r="E17" t="s">
        <v>39</v>
      </c>
    </row>
    <row r="18" spans="1:5" x14ac:dyDescent="0.2">
      <c r="A18" t="s">
        <v>40</v>
      </c>
      <c r="B18" t="s">
        <v>41</v>
      </c>
      <c r="C18">
        <v>10</v>
      </c>
      <c r="D18">
        <v>2</v>
      </c>
      <c r="E18" t="s">
        <v>39</v>
      </c>
    </row>
    <row r="19" spans="1:5" x14ac:dyDescent="0.2">
      <c r="A19" t="s">
        <v>42</v>
      </c>
      <c r="B19" t="s">
        <v>43</v>
      </c>
      <c r="C19">
        <v>10</v>
      </c>
      <c r="D19">
        <v>2</v>
      </c>
      <c r="E19" t="s">
        <v>39</v>
      </c>
    </row>
    <row r="20" spans="1:5" x14ac:dyDescent="0.2">
      <c r="A20" t="s">
        <v>44</v>
      </c>
      <c r="B20" t="s">
        <v>45</v>
      </c>
      <c r="C20">
        <v>10</v>
      </c>
      <c r="D20">
        <v>2</v>
      </c>
      <c r="E20" t="s">
        <v>39</v>
      </c>
    </row>
    <row r="21" spans="1:5" x14ac:dyDescent="0.2">
      <c r="A21" t="s">
        <v>46</v>
      </c>
      <c r="B21" t="s">
        <v>47</v>
      </c>
      <c r="C21">
        <v>10</v>
      </c>
      <c r="D21">
        <v>2</v>
      </c>
      <c r="E21" t="s">
        <v>39</v>
      </c>
    </row>
    <row r="22" spans="1:5" x14ac:dyDescent="0.2">
      <c r="A22" t="s">
        <v>48</v>
      </c>
      <c r="B22" t="s">
        <v>49</v>
      </c>
      <c r="C22">
        <v>10</v>
      </c>
      <c r="D22">
        <v>2</v>
      </c>
      <c r="E22" t="s">
        <v>39</v>
      </c>
    </row>
    <row r="23" spans="1:5" x14ac:dyDescent="0.2">
      <c r="A23" t="s">
        <v>50</v>
      </c>
      <c r="B23" t="s">
        <v>51</v>
      </c>
      <c r="C23">
        <v>10</v>
      </c>
      <c r="D23">
        <v>2</v>
      </c>
      <c r="E23" t="s">
        <v>39</v>
      </c>
    </row>
    <row r="24" spans="1:5" x14ac:dyDescent="0.2">
      <c r="A24" t="s">
        <v>52</v>
      </c>
      <c r="B24" t="s">
        <v>53</v>
      </c>
      <c r="C24">
        <v>10</v>
      </c>
      <c r="D24">
        <v>2</v>
      </c>
      <c r="E24" t="s">
        <v>39</v>
      </c>
    </row>
    <row r="25" spans="1:5" x14ac:dyDescent="0.2">
      <c r="A25" t="s">
        <v>54</v>
      </c>
      <c r="B25" t="s">
        <v>55</v>
      </c>
      <c r="C25">
        <v>60</v>
      </c>
      <c r="D25">
        <v>2</v>
      </c>
      <c r="E25" t="s">
        <v>24</v>
      </c>
    </row>
    <row r="26" spans="1:5" x14ac:dyDescent="0.2">
      <c r="A26" t="s">
        <v>56</v>
      </c>
      <c r="B26" t="s">
        <v>57</v>
      </c>
      <c r="C26">
        <v>0</v>
      </c>
      <c r="D26">
        <v>2</v>
      </c>
      <c r="E26" t="s">
        <v>58</v>
      </c>
    </row>
    <row r="27" spans="1:5" x14ac:dyDescent="0.2">
      <c r="A27" t="s">
        <v>59</v>
      </c>
      <c r="B27" t="s">
        <v>60</v>
      </c>
      <c r="C27">
        <v>0</v>
      </c>
      <c r="D27">
        <v>2</v>
      </c>
      <c r="E27" t="s">
        <v>58</v>
      </c>
    </row>
    <row r="28" spans="1:5" x14ac:dyDescent="0.2">
      <c r="A28" t="s">
        <v>61</v>
      </c>
      <c r="B28" t="s">
        <v>62</v>
      </c>
      <c r="C28">
        <v>0</v>
      </c>
      <c r="D28">
        <v>2</v>
      </c>
      <c r="E28" t="s">
        <v>58</v>
      </c>
    </row>
    <row r="29" spans="1:5" x14ac:dyDescent="0.2">
      <c r="A29" t="s">
        <v>63</v>
      </c>
      <c r="B29" t="s">
        <v>64</v>
      </c>
      <c r="C29">
        <v>0</v>
      </c>
      <c r="D29">
        <v>2</v>
      </c>
      <c r="E29" t="s">
        <v>58</v>
      </c>
    </row>
    <row r="30" spans="1:5" x14ac:dyDescent="0.2">
      <c r="A30" t="s">
        <v>65</v>
      </c>
      <c r="B30" t="s">
        <v>66</v>
      </c>
      <c r="C30">
        <v>0</v>
      </c>
      <c r="D30">
        <v>2</v>
      </c>
      <c r="E30" t="s">
        <v>67</v>
      </c>
    </row>
    <row r="31" spans="1:5" x14ac:dyDescent="0.2">
      <c r="A31" t="s">
        <v>68</v>
      </c>
      <c r="B31" t="s">
        <v>69</v>
      </c>
      <c r="C31">
        <v>0</v>
      </c>
      <c r="D31">
        <v>2</v>
      </c>
      <c r="E31" t="s">
        <v>67</v>
      </c>
    </row>
    <row r="32" spans="1:5" x14ac:dyDescent="0.2">
      <c r="A32" t="s">
        <v>70</v>
      </c>
      <c r="B32" t="s">
        <v>71</v>
      </c>
      <c r="C32">
        <v>0</v>
      </c>
      <c r="D32">
        <v>2</v>
      </c>
      <c r="E32" t="s">
        <v>67</v>
      </c>
    </row>
    <row r="33" spans="1:5" x14ac:dyDescent="0.2">
      <c r="A33" t="s">
        <v>72</v>
      </c>
      <c r="B33" t="s">
        <v>73</v>
      </c>
      <c r="C33">
        <v>0</v>
      </c>
      <c r="D33">
        <v>2</v>
      </c>
      <c r="E33" t="s">
        <v>67</v>
      </c>
    </row>
    <row r="34" spans="1:5" x14ac:dyDescent="0.2">
      <c r="A34" t="s">
        <v>74</v>
      </c>
      <c r="B34" t="s">
        <v>75</v>
      </c>
      <c r="C34">
        <v>0</v>
      </c>
      <c r="D34">
        <v>2</v>
      </c>
      <c r="E34" t="s">
        <v>76</v>
      </c>
    </row>
    <row r="35" spans="1:5" x14ac:dyDescent="0.2">
      <c r="A35" t="s">
        <v>77</v>
      </c>
      <c r="B35" t="s">
        <v>78</v>
      </c>
      <c r="C35">
        <v>0</v>
      </c>
      <c r="D35">
        <v>2</v>
      </c>
      <c r="E35" t="s">
        <v>76</v>
      </c>
    </row>
    <row r="36" spans="1:5" x14ac:dyDescent="0.2">
      <c r="A36" t="s">
        <v>79</v>
      </c>
      <c r="B36" t="s">
        <v>80</v>
      </c>
      <c r="C36">
        <v>0</v>
      </c>
      <c r="D36">
        <v>2</v>
      </c>
      <c r="E36" t="s">
        <v>76</v>
      </c>
    </row>
    <row r="37" spans="1:5" x14ac:dyDescent="0.2">
      <c r="A37" t="s">
        <v>81</v>
      </c>
      <c r="B37" t="s">
        <v>82</v>
      </c>
      <c r="C37">
        <v>0</v>
      </c>
      <c r="D37">
        <v>2</v>
      </c>
      <c r="E37" t="s">
        <v>76</v>
      </c>
    </row>
    <row r="38" spans="1:5" x14ac:dyDescent="0.2">
      <c r="A38" t="s">
        <v>83</v>
      </c>
      <c r="B38" t="s">
        <v>84</v>
      </c>
      <c r="C38">
        <v>0</v>
      </c>
      <c r="D38">
        <v>3</v>
      </c>
      <c r="E38" t="s">
        <v>85</v>
      </c>
    </row>
    <row r="39" spans="1:5" x14ac:dyDescent="0.2">
      <c r="A39" t="s">
        <v>86</v>
      </c>
      <c r="B39" t="s">
        <v>87</v>
      </c>
      <c r="C39">
        <v>0</v>
      </c>
      <c r="D39">
        <v>3</v>
      </c>
      <c r="E39" t="s">
        <v>85</v>
      </c>
    </row>
    <row r="40" spans="1:5" x14ac:dyDescent="0.2">
      <c r="A40" t="s">
        <v>88</v>
      </c>
      <c r="B40" t="s">
        <v>89</v>
      </c>
      <c r="C40">
        <v>0</v>
      </c>
      <c r="D40">
        <v>3</v>
      </c>
      <c r="E40" t="s">
        <v>85</v>
      </c>
    </row>
    <row r="41" spans="1:5" x14ac:dyDescent="0.2">
      <c r="A41" t="s">
        <v>90</v>
      </c>
      <c r="B41" t="s">
        <v>91</v>
      </c>
      <c r="C41">
        <v>0</v>
      </c>
      <c r="D41">
        <v>3</v>
      </c>
      <c r="E41" t="s">
        <v>85</v>
      </c>
    </row>
    <row r="42" spans="1:5" x14ac:dyDescent="0.2">
      <c r="A42" t="s">
        <v>92</v>
      </c>
      <c r="B42" t="s">
        <v>93</v>
      </c>
      <c r="C42">
        <v>0</v>
      </c>
      <c r="D42">
        <v>3</v>
      </c>
      <c r="E42" t="s">
        <v>85</v>
      </c>
    </row>
    <row r="43" spans="1:5" x14ac:dyDescent="0.2">
      <c r="A43" t="s">
        <v>94</v>
      </c>
      <c r="B43" t="s">
        <v>95</v>
      </c>
      <c r="C43">
        <v>0</v>
      </c>
      <c r="D43">
        <v>1</v>
      </c>
      <c r="E43" t="s">
        <v>96</v>
      </c>
    </row>
    <row r="44" spans="1:5" x14ac:dyDescent="0.2">
      <c r="A44" t="s">
        <v>97</v>
      </c>
      <c r="B44" t="s">
        <v>98</v>
      </c>
      <c r="C44">
        <v>0</v>
      </c>
      <c r="D44">
        <v>1</v>
      </c>
      <c r="E44" t="s">
        <v>96</v>
      </c>
    </row>
    <row r="45" spans="1:5" x14ac:dyDescent="0.2">
      <c r="A45" t="s">
        <v>99</v>
      </c>
      <c r="B45" t="s">
        <v>100</v>
      </c>
      <c r="C45">
        <v>0</v>
      </c>
      <c r="D45">
        <v>1</v>
      </c>
      <c r="E45" t="s">
        <v>101</v>
      </c>
    </row>
    <row r="46" spans="1:5" x14ac:dyDescent="0.2">
      <c r="A46" t="s">
        <v>102</v>
      </c>
      <c r="B46" t="s">
        <v>103</v>
      </c>
      <c r="C46">
        <v>0</v>
      </c>
      <c r="D46">
        <v>1</v>
      </c>
      <c r="E46" t="s">
        <v>101</v>
      </c>
    </row>
  </sheetData>
  <autoFilter ref="A1:E46" xr:uid="{A5385B6A-EBF7-4E26-B643-CEA08B79C708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AD56-F1BF-41B0-9984-081F3B74D27B}">
  <dimension ref="A1:D20"/>
  <sheetViews>
    <sheetView tabSelected="1" workbookViewId="0">
      <selection activeCell="C20" sqref="C20"/>
    </sheetView>
  </sheetViews>
  <sheetFormatPr defaultRowHeight="14.25" x14ac:dyDescent="0.2"/>
  <cols>
    <col min="1" max="2" width="9" style="1"/>
    <col min="3" max="3" width="12.875" style="1" bestFit="1" customWidth="1"/>
    <col min="4" max="16384" width="9" style="1"/>
  </cols>
  <sheetData>
    <row r="1" spans="1:4" x14ac:dyDescent="0.2">
      <c r="A1" s="1" t="s">
        <v>104</v>
      </c>
      <c r="B1" s="1" t="s">
        <v>105</v>
      </c>
      <c r="C1" s="1" t="s">
        <v>106</v>
      </c>
      <c r="D1" s="1" t="s">
        <v>107</v>
      </c>
    </row>
    <row r="2" spans="1:4" x14ac:dyDescent="0.2">
      <c r="A2" s="1" t="s">
        <v>5</v>
      </c>
      <c r="B2" s="1">
        <v>7</v>
      </c>
      <c r="C2" s="1">
        <f>IFERROR(VLOOKUP(A2,单位数据!$A:$D,3,0)*B2,0)</f>
        <v>420</v>
      </c>
      <c r="D2" s="1">
        <f>IFERROR(VLOOKUP(A2,单位数据!$A:$D,4,0)*B2,0)</f>
        <v>14</v>
      </c>
    </row>
    <row r="3" spans="1:4" x14ac:dyDescent="0.2">
      <c r="A3" s="1" t="s">
        <v>83</v>
      </c>
      <c r="B3" s="1">
        <v>2</v>
      </c>
      <c r="C3" s="1">
        <f>IFERROR(VLOOKUP(A3,单位数据!$A:$D,3,0)*B3,0)</f>
        <v>0</v>
      </c>
      <c r="D3" s="1">
        <f>IFERROR(VLOOKUP(A3,单位数据!$A:$D,4,0)*B3,0)</f>
        <v>6</v>
      </c>
    </row>
    <row r="4" spans="1:4" x14ac:dyDescent="0.2">
      <c r="B4" s="1">
        <v>0</v>
      </c>
      <c r="C4" s="1">
        <f>IFERROR(VLOOKUP(A4,单位数据!$A:$D,3,0)*B4,0)</f>
        <v>0</v>
      </c>
      <c r="D4" s="1">
        <f>IFERROR(VLOOKUP(A4,单位数据!$A:$D,4,0)*B4,0)</f>
        <v>0</v>
      </c>
    </row>
    <row r="5" spans="1:4" x14ac:dyDescent="0.2">
      <c r="B5" s="1">
        <v>0</v>
      </c>
      <c r="C5" s="1">
        <f>IFERROR(VLOOKUP(A5,单位数据!$A:$D,3,0)*B5,0)</f>
        <v>0</v>
      </c>
      <c r="D5" s="1">
        <f>IFERROR(VLOOKUP(A5,单位数据!$A:$D,4,0)*B5,0)</f>
        <v>0</v>
      </c>
    </row>
    <row r="6" spans="1:4" x14ac:dyDescent="0.2">
      <c r="B6" s="1">
        <v>0</v>
      </c>
      <c r="C6" s="1">
        <f>IFERROR(VLOOKUP(A6,单位数据!$A:$D,3,0)*B6,0)</f>
        <v>0</v>
      </c>
      <c r="D6" s="1">
        <f>IFERROR(VLOOKUP(A6,单位数据!$A:$D,4,0)*B6,0)</f>
        <v>0</v>
      </c>
    </row>
    <row r="7" spans="1:4" x14ac:dyDescent="0.2">
      <c r="B7" s="1">
        <v>0</v>
      </c>
      <c r="C7" s="1">
        <f>IFERROR(VLOOKUP(A7,单位数据!$A:$D,3,0)*B7,0)</f>
        <v>0</v>
      </c>
      <c r="D7" s="1">
        <f>IFERROR(VLOOKUP(A7,单位数据!$A:$D,4,0)*B7,0)</f>
        <v>0</v>
      </c>
    </row>
    <row r="8" spans="1:4" x14ac:dyDescent="0.2">
      <c r="B8" s="1">
        <v>0</v>
      </c>
      <c r="C8" s="1">
        <f>IFERROR(VLOOKUP(A8,单位数据!$A:$D,3,0)*B8,0)</f>
        <v>0</v>
      </c>
      <c r="D8" s="1">
        <f>IFERROR(VLOOKUP(A8,单位数据!$A:$D,4,0)*B8,0)</f>
        <v>0</v>
      </c>
    </row>
    <row r="9" spans="1:4" x14ac:dyDescent="0.2">
      <c r="B9" s="1">
        <v>0</v>
      </c>
      <c r="C9" s="1">
        <f>IFERROR(VLOOKUP(A9,单位数据!$A:$D,3,0)*B9,0)</f>
        <v>0</v>
      </c>
      <c r="D9" s="1">
        <f>IFERROR(VLOOKUP(A9,单位数据!$A:$D,4,0)*B9,0)</f>
        <v>0</v>
      </c>
    </row>
    <row r="10" spans="1:4" x14ac:dyDescent="0.2">
      <c r="B10" s="1">
        <v>0</v>
      </c>
      <c r="C10" s="1">
        <f>IFERROR(VLOOKUP(A10,单位数据!$A:$D,3,0)*B10,0)</f>
        <v>0</v>
      </c>
      <c r="D10" s="1">
        <f>IFERROR(VLOOKUP(A10,单位数据!$A:$D,4,0)*B10,0)</f>
        <v>0</v>
      </c>
    </row>
    <row r="11" spans="1:4" x14ac:dyDescent="0.2">
      <c r="B11" s="1">
        <v>0</v>
      </c>
      <c r="C11" s="1">
        <f>IFERROR(VLOOKUP(A11,单位数据!$A:$D,3,0)*B11,0)</f>
        <v>0</v>
      </c>
      <c r="D11" s="1">
        <f>IFERROR(VLOOKUP(A11,单位数据!$A:$D,4,0)*B11,0)</f>
        <v>0</v>
      </c>
    </row>
    <row r="12" spans="1:4" x14ac:dyDescent="0.2">
      <c r="B12" s="1">
        <v>0</v>
      </c>
      <c r="C12" s="1">
        <f>IFERROR(VLOOKUP(A12,单位数据!$A:$D,3,0)*B12,0)</f>
        <v>0</v>
      </c>
      <c r="D12" s="1">
        <f>IFERROR(VLOOKUP(A12,单位数据!$A:$D,4,0)*B12,0)</f>
        <v>0</v>
      </c>
    </row>
    <row r="13" spans="1:4" x14ac:dyDescent="0.2">
      <c r="B13" s="1">
        <v>0</v>
      </c>
      <c r="C13" s="1">
        <f>IFERROR(VLOOKUP(A13,单位数据!$A:$D,3,0)*B13,0)</f>
        <v>0</v>
      </c>
      <c r="D13" s="1">
        <f>IFERROR(VLOOKUP(A13,单位数据!$A:$D,4,0)*B13,0)</f>
        <v>0</v>
      </c>
    </row>
    <row r="14" spans="1:4" x14ac:dyDescent="0.2">
      <c r="B14" s="1">
        <v>0</v>
      </c>
      <c r="C14" s="1">
        <f>IFERROR(VLOOKUP(A14,单位数据!$A:$D,3,0)*B14,0)</f>
        <v>0</v>
      </c>
      <c r="D14" s="1">
        <f>IFERROR(VLOOKUP(A14,单位数据!$A:$D,4,0)*B14,0)</f>
        <v>0</v>
      </c>
    </row>
    <row r="15" spans="1:4" x14ac:dyDescent="0.2">
      <c r="B15" s="1">
        <v>0</v>
      </c>
      <c r="C15" s="1">
        <f>IFERROR(VLOOKUP(A15,单位数据!$A:$D,3,0)*B15,0)</f>
        <v>0</v>
      </c>
      <c r="D15" s="1">
        <f>IFERROR(VLOOKUP(A15,单位数据!$A:$D,4,0)*B15,0)</f>
        <v>0</v>
      </c>
    </row>
    <row r="16" spans="1:4" x14ac:dyDescent="0.2">
      <c r="B16" s="1">
        <v>0</v>
      </c>
      <c r="C16" s="1">
        <f>IFERROR(VLOOKUP(A16,单位数据!$A:$D,3,0)*B16,0)</f>
        <v>0</v>
      </c>
      <c r="D16" s="1">
        <f>IFERROR(VLOOKUP(A16,单位数据!$A:$D,4,0)*B16,0)</f>
        <v>0</v>
      </c>
    </row>
    <row r="17" spans="2:4" x14ac:dyDescent="0.2">
      <c r="B17" s="1">
        <v>0</v>
      </c>
      <c r="C17" s="1">
        <f>IFERROR(VLOOKUP(A17,单位数据!$A:$D,3,0)*B17,0)</f>
        <v>0</v>
      </c>
      <c r="D17" s="1">
        <f>IFERROR(VLOOKUP(A17,单位数据!$A:$D,4,0)*B17,0)</f>
        <v>0</v>
      </c>
    </row>
    <row r="18" spans="2:4" x14ac:dyDescent="0.2">
      <c r="B18" s="1">
        <v>0</v>
      </c>
      <c r="C18" s="1">
        <f>IFERROR(VLOOKUP(A18,单位数据!$A:$D,3,0)*B18,0)</f>
        <v>0</v>
      </c>
      <c r="D18" s="1">
        <f>IFERROR(VLOOKUP(A18,单位数据!$A:$D,4,0)*B18,0)</f>
        <v>0</v>
      </c>
    </row>
    <row r="19" spans="2:4" x14ac:dyDescent="0.2">
      <c r="B19" s="1">
        <v>0</v>
      </c>
      <c r="C19" s="1">
        <f>IFERROR(VLOOKUP(A19,单位数据!$A:$D,3,0)*B19,0)</f>
        <v>0</v>
      </c>
      <c r="D19" s="1">
        <f>IFERROR(VLOOKUP(A19,单位数据!$A:$D,4,0)*B19,0)</f>
        <v>0</v>
      </c>
    </row>
    <row r="20" spans="2:4" x14ac:dyDescent="0.2">
      <c r="B20" s="1">
        <f>SUM(B2:B19)</f>
        <v>9</v>
      </c>
      <c r="C20" s="2">
        <f>SUM(C2:C19)/SUM(B2:B19)</f>
        <v>46.666666666666664</v>
      </c>
      <c r="D20" s="1">
        <f>SUM(D2:D19)</f>
        <v>20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E447-2A80-467C-9CDD-E7DF6CEC40C8}">
  <dimension ref="A1:J9"/>
  <sheetViews>
    <sheetView workbookViewId="0">
      <selection activeCell="F3" sqref="F3"/>
    </sheetView>
  </sheetViews>
  <sheetFormatPr defaultRowHeight="14.25" x14ac:dyDescent="0.2"/>
  <cols>
    <col min="10" max="10" width="11.25" customWidth="1"/>
  </cols>
  <sheetData>
    <row r="1" spans="1:10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124</v>
      </c>
      <c r="J1" t="s">
        <v>125</v>
      </c>
    </row>
    <row r="2" spans="1:10" x14ac:dyDescent="0.2">
      <c r="A2" t="s">
        <v>116</v>
      </c>
      <c r="B2">
        <v>60</v>
      </c>
      <c r="C2">
        <v>30</v>
      </c>
      <c r="D2">
        <v>90</v>
      </c>
      <c r="E2">
        <f>ROUNDDOWN(D2/师编制!$D$20,0)</f>
        <v>4</v>
      </c>
      <c r="F2">
        <f>E2*师编制!$D$20</f>
        <v>80</v>
      </c>
      <c r="G2">
        <f>D2-F2</f>
        <v>10</v>
      </c>
      <c r="H2" t="str">
        <f>IF(G2&gt;=0,"否","是")</f>
        <v>否</v>
      </c>
      <c r="I2">
        <f>IF(F2&gt;D2, MIN(1.5*(F2-D2)/D2, 0.33), 0)</f>
        <v>0</v>
      </c>
      <c r="J2">
        <f>F2 * (1 - I2)</f>
        <v>80</v>
      </c>
    </row>
    <row r="3" spans="1:10" x14ac:dyDescent="0.2">
      <c r="A3" t="s">
        <v>117</v>
      </c>
      <c r="B3">
        <v>70</v>
      </c>
      <c r="C3">
        <v>35</v>
      </c>
      <c r="D3">
        <v>105</v>
      </c>
      <c r="E3">
        <f>ROUNDDOWN(D3/师编制!$D$20,0)</f>
        <v>5</v>
      </c>
      <c r="F3">
        <f>E3*师编制!$D$20</f>
        <v>100</v>
      </c>
      <c r="G3">
        <f t="shared" ref="G3:G9" si="0">D3-F3</f>
        <v>5</v>
      </c>
      <c r="H3" t="str">
        <f t="shared" ref="H3:H9" si="1">IF(G3&gt;=0,"否","是")</f>
        <v>否</v>
      </c>
      <c r="I3">
        <f t="shared" ref="I3:I9" si="2">IF(F3&gt;D3, MIN(1.5*(F3-D3)/D3, 0.33), 0)</f>
        <v>0</v>
      </c>
      <c r="J3">
        <f t="shared" ref="J3:J9" si="3">F3 * (1 - I3)</f>
        <v>100</v>
      </c>
    </row>
    <row r="4" spans="1:10" x14ac:dyDescent="0.2">
      <c r="A4" t="s">
        <v>118</v>
      </c>
      <c r="B4">
        <v>50</v>
      </c>
      <c r="C4">
        <v>25</v>
      </c>
      <c r="D4">
        <v>75</v>
      </c>
      <c r="E4">
        <f>ROUNDDOWN(D4/师编制!$D$20,0)</f>
        <v>3</v>
      </c>
      <c r="F4">
        <f>E4*师编制!$D$20</f>
        <v>60</v>
      </c>
      <c r="G4">
        <f t="shared" si="0"/>
        <v>15</v>
      </c>
      <c r="H4" t="str">
        <f t="shared" si="1"/>
        <v>否</v>
      </c>
      <c r="I4">
        <f t="shared" si="2"/>
        <v>0</v>
      </c>
      <c r="J4">
        <f t="shared" si="3"/>
        <v>60</v>
      </c>
    </row>
    <row r="5" spans="1:10" x14ac:dyDescent="0.2">
      <c r="A5" t="s">
        <v>119</v>
      </c>
      <c r="B5">
        <v>70</v>
      </c>
      <c r="C5">
        <v>35</v>
      </c>
      <c r="D5">
        <v>105</v>
      </c>
      <c r="E5">
        <f>ROUNDDOWN(D5/师编制!$D$20,0)</f>
        <v>5</v>
      </c>
      <c r="F5">
        <f>E5*师编制!$D$20</f>
        <v>100</v>
      </c>
      <c r="G5">
        <f t="shared" si="0"/>
        <v>5</v>
      </c>
      <c r="H5" t="str">
        <f t="shared" si="1"/>
        <v>否</v>
      </c>
      <c r="I5">
        <f t="shared" si="2"/>
        <v>0</v>
      </c>
      <c r="J5">
        <f t="shared" si="3"/>
        <v>100</v>
      </c>
    </row>
    <row r="6" spans="1:10" x14ac:dyDescent="0.2">
      <c r="A6" t="s">
        <v>120</v>
      </c>
      <c r="B6">
        <v>80</v>
      </c>
      <c r="C6">
        <v>40</v>
      </c>
      <c r="D6">
        <v>120</v>
      </c>
      <c r="E6">
        <f>ROUNDDOWN(D6/师编制!$D$20,0)</f>
        <v>6</v>
      </c>
      <c r="F6">
        <f>E6*师编制!$D$20</f>
        <v>120</v>
      </c>
      <c r="G6">
        <f t="shared" si="0"/>
        <v>0</v>
      </c>
      <c r="H6" t="str">
        <f t="shared" si="1"/>
        <v>否</v>
      </c>
      <c r="I6">
        <f t="shared" si="2"/>
        <v>0</v>
      </c>
      <c r="J6">
        <f t="shared" si="3"/>
        <v>120</v>
      </c>
    </row>
    <row r="7" spans="1:10" x14ac:dyDescent="0.2">
      <c r="A7" t="s">
        <v>121</v>
      </c>
      <c r="B7">
        <v>60</v>
      </c>
      <c r="C7">
        <v>30</v>
      </c>
      <c r="D7">
        <v>90</v>
      </c>
      <c r="E7">
        <f>ROUNDDOWN(D7/师编制!$D$20,0)</f>
        <v>4</v>
      </c>
      <c r="F7">
        <f>E7*师编制!$D$20</f>
        <v>80</v>
      </c>
      <c r="G7">
        <f t="shared" si="0"/>
        <v>10</v>
      </c>
      <c r="H7" t="str">
        <f t="shared" si="1"/>
        <v>否</v>
      </c>
      <c r="I7">
        <f t="shared" si="2"/>
        <v>0</v>
      </c>
      <c r="J7">
        <f t="shared" si="3"/>
        <v>80</v>
      </c>
    </row>
    <row r="8" spans="1:10" x14ac:dyDescent="0.2">
      <c r="A8" t="s">
        <v>122</v>
      </c>
      <c r="B8">
        <v>50</v>
      </c>
      <c r="C8">
        <v>25</v>
      </c>
      <c r="D8">
        <v>75</v>
      </c>
      <c r="E8">
        <f>ROUNDDOWN(D8/师编制!$D$20,0)</f>
        <v>3</v>
      </c>
      <c r="F8">
        <f>E8*师编制!$D$20</f>
        <v>60</v>
      </c>
      <c r="G8">
        <f t="shared" si="0"/>
        <v>15</v>
      </c>
      <c r="H8" t="str">
        <f t="shared" si="1"/>
        <v>否</v>
      </c>
      <c r="I8">
        <f t="shared" si="2"/>
        <v>0</v>
      </c>
      <c r="J8">
        <f t="shared" si="3"/>
        <v>60</v>
      </c>
    </row>
    <row r="9" spans="1:10" x14ac:dyDescent="0.2">
      <c r="A9" t="s">
        <v>123</v>
      </c>
      <c r="B9">
        <v>70</v>
      </c>
      <c r="C9">
        <v>35</v>
      </c>
      <c r="D9">
        <v>105</v>
      </c>
      <c r="E9">
        <f>ROUNDDOWN(D9/师编制!$D$20,0)</f>
        <v>5</v>
      </c>
      <c r="F9">
        <f>E9*师编制!$D$20</f>
        <v>100</v>
      </c>
      <c r="G9">
        <f t="shared" si="0"/>
        <v>5</v>
      </c>
      <c r="H9" t="str">
        <f t="shared" si="1"/>
        <v>否</v>
      </c>
      <c r="I9">
        <f t="shared" si="2"/>
        <v>0</v>
      </c>
      <c r="J9">
        <f t="shared" si="3"/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单位数据</vt:lpstr>
      <vt:lpstr>师编制</vt:lpstr>
      <vt:lpstr>地形适配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为刃 风</cp:lastModifiedBy>
  <dcterms:created xsi:type="dcterms:W3CDTF">2026-09-20T06:25:44Z</dcterms:created>
  <dcterms:modified xsi:type="dcterms:W3CDTF">2026-09-20T08:43:00Z</dcterms:modified>
</cp:coreProperties>
</file>